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Perez\Desktop\Licitaciones\Valle Laciana\"/>
    </mc:Choice>
  </mc:AlternateContent>
  <xr:revisionPtr revIDLastSave="0" documentId="8_{3DD649D0-E43F-4577-9AF0-0BB8A9E43B0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acian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8" i="1" l="1"/>
  <c r="L17" i="1"/>
  <c r="L16" i="1"/>
  <c r="L15" i="1"/>
  <c r="L14" i="1"/>
  <c r="L13" i="1"/>
  <c r="L12" i="1"/>
  <c r="D12" i="1"/>
  <c r="L11" i="1"/>
  <c r="D11" i="1"/>
  <c r="L10" i="1"/>
  <c r="D10" i="1"/>
  <c r="L9" i="1"/>
  <c r="D9" i="1"/>
  <c r="L8" i="1"/>
  <c r="G8" i="1"/>
  <c r="D8" i="1"/>
  <c r="L7" i="1"/>
  <c r="D7" i="1"/>
  <c r="L6" i="1"/>
  <c r="D6" i="1"/>
  <c r="L5" i="1"/>
  <c r="D5" i="1"/>
  <c r="D14" i="1" l="1"/>
  <c r="L21" i="1"/>
  <c r="G5" i="1" s="1"/>
  <c r="G10" i="1" s="1"/>
  <c r="G13" i="1"/>
  <c r="G14" i="1" s="1"/>
  <c r="G11" i="1" l="1"/>
  <c r="G12" i="1"/>
</calcChain>
</file>

<file path=xl/sharedStrings.xml><?xml version="1.0" encoding="utf-8"?>
<sst xmlns="http://schemas.openxmlformats.org/spreadsheetml/2006/main" count="55" uniqueCount="52">
  <si>
    <t>Oferta económica - Fundación Laciana Reserva de la Biosfera (Expte. 740/2026)</t>
  </si>
  <si>
    <t>Tabla de Gastos Directos</t>
  </si>
  <si>
    <t>Tabla de Gastos en Horas</t>
  </si>
  <si>
    <t>Coste hora</t>
  </si>
  <si>
    <t>meses</t>
  </si>
  <si>
    <t>Concepto</t>
  </si>
  <si>
    <t>unidad</t>
  </si>
  <si>
    <t>coste unidad</t>
  </si>
  <si>
    <t>Importe</t>
  </si>
  <si>
    <t>Detalles</t>
  </si>
  <si>
    <t>Presupuesto</t>
  </si>
  <si>
    <t>Horas</t>
  </si>
  <si>
    <t>Importe total</t>
  </si>
  <si>
    <t>Desplazamientos a Villablino (16 viajes)</t>
  </si>
  <si>
    <t>Combustible, kilometraje y peajes estimados por viaje</t>
  </si>
  <si>
    <t>Coste</t>
  </si>
  <si>
    <t>Dirección de proyecto y coordinación general</t>
  </si>
  <si>
    <t>Alojamiento y dietas asociadas a visitas (16)</t>
  </si>
  <si>
    <t>Pernocta y manutención vinculadas a trabajo de campo</t>
  </si>
  <si>
    <t>Bajada</t>
  </si>
  <si>
    <t>Diagnóstico territorial y turístico</t>
  </si>
  <si>
    <t>Materiales y soporte para reuniones participativas</t>
  </si>
  <si>
    <t>Documentación de trabajo, impresiones y apoyo logístico</t>
  </si>
  <si>
    <t>Mapeo de agentes, entrevistas y visitas de campo</t>
  </si>
  <si>
    <t>Herramientas de recopilación y análisis de datos turísticos</t>
  </si>
  <si>
    <t>Formularios, repositorio de datos y cuadro de seguimiento</t>
  </si>
  <si>
    <t>Oferta</t>
  </si>
  <si>
    <t>Plan de trabajo inicial y metodología</t>
  </si>
  <si>
    <t>Licencias y herramientas de visualización/encuestas</t>
  </si>
  <si>
    <t>Software de apoyo para análisis, seguimiento y reporting</t>
  </si>
  <si>
    <t>Diseño y estructuración del producto turístico</t>
  </si>
  <si>
    <t>Comunicación y coordinación digital del proyecto</t>
  </si>
  <si>
    <t>Videollamadas, nube, telefonía y coordinación remota</t>
  </si>
  <si>
    <t>Beneficio</t>
  </si>
  <si>
    <t>Coordinación con agentes y dinamización territorial</t>
  </si>
  <si>
    <t>Acciones divulgativas y participación en jornadas</t>
  </si>
  <si>
    <t>Difusión, presentaciones y transferencia metodológica</t>
  </si>
  <si>
    <t>Margen</t>
  </si>
  <si>
    <t>Sistema de datos turísticos e indicadores</t>
  </si>
  <si>
    <t>Imprevistos operativos</t>
  </si>
  <si>
    <t>Margen técnico para incidencias y ajustes menores</t>
  </si>
  <si>
    <t>Margen s/coste</t>
  </si>
  <si>
    <t>Seguimiento y evaluación de actuaciones</t>
  </si>
  <si>
    <t>IVA 21%</t>
  </si>
  <si>
    <t>Informes de seguimiento (3/semestre = 12 informes)</t>
  </si>
  <si>
    <t>Total</t>
  </si>
  <si>
    <t>Oferta total (IVA incl.)</t>
  </si>
  <si>
    <t>Reuniones presenciales (3/semestre = 12 reuniones)</t>
  </si>
  <si>
    <t>Memoria final y transferencia metodológica</t>
  </si>
  <si>
    <t>Acciones divulgativas y replicabilidad</t>
  </si>
  <si>
    <t>Gestión documental y administrativa</t>
  </si>
  <si>
    <t>Contingencia técnica y ajustes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</si>
</sst>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\$* #,##0.00_);_(\$* \(#,##0.00\);_(\$* \-??_);_(@_)"/>
    <numFmt numFmtId="165" formatCode="_-* #,##0.00&quot; €&quot;_-;\-* #,##0.00&quot; €&quot;_-;_-* \-??&quot; €&quot;_-;_-@_-"/>
    <numFmt numFmtId="166" formatCode="#,##0.00&quot; €&quot;"/>
    <numFmt numFmtId="167" formatCode="#,##0.00&quot; €&quot;;[Red]\-#,##0.00&quot; €&quot;"/>
  </numFmts>
  <fonts count="8" x14ac:knownFonts="1">
    <font>
      <sz val="11"/>
      <color theme="1"/>
      <name val="Calibri"/>
      <charset val="1"/>
    </font>
    <font>
      <b/>
      <sz val="14"/>
      <color theme="1"/>
      <name val="Calibri"/>
      <charset val="1"/>
    </font>
    <font>
      <b/>
      <sz val="11"/>
      <name val="Calibri"/>
      <charset val="1"/>
    </font>
    <font>
      <sz val="10"/>
      <color theme="1"/>
      <name val="Arial"/>
      <charset val="1"/>
    </font>
    <font>
      <sz val="9"/>
      <color theme="1"/>
      <name val="Arial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FFFF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3">
    <xf numFmtId="0" fontId="0" fillId="0" borderId="0"/>
    <xf numFmtId="164" fontId="6" fillId="0" borderId="0"/>
    <xf numFmtId="9" fontId="6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65" fontId="6" fillId="0" borderId="0" xfId="1" applyNumberFormat="1" applyAlignment="1">
      <alignment horizontal="right"/>
    </xf>
    <xf numFmtId="4" fontId="2" fillId="0" borderId="0" xfId="0" applyNumberFormat="1" applyFont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66" fontId="3" fillId="0" borderId="1" xfId="0" applyNumberFormat="1" applyFont="1" applyBorder="1"/>
    <xf numFmtId="4" fontId="0" fillId="0" borderId="0" xfId="0" applyNumberFormat="1" applyAlignment="1">
      <alignment wrapText="1"/>
    </xf>
    <xf numFmtId="0" fontId="4" fillId="0" borderId="1" xfId="0" applyFont="1" applyBorder="1" applyAlignment="1">
      <alignment horizontal="left" vertical="center" wrapText="1"/>
    </xf>
    <xf numFmtId="165" fontId="0" fillId="0" borderId="0" xfId="0" applyNumberFormat="1"/>
    <xf numFmtId="165" fontId="6" fillId="0" borderId="0" xfId="1" applyNumberFormat="1"/>
    <xf numFmtId="167" fontId="0" fillId="0" borderId="0" xfId="0" applyNumberFormat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66" fontId="3" fillId="2" borderId="1" xfId="0" applyNumberFormat="1" applyFont="1" applyFill="1" applyBorder="1"/>
    <xf numFmtId="0" fontId="4" fillId="2" borderId="1" xfId="0" applyFont="1" applyFill="1" applyBorder="1" applyAlignment="1">
      <alignment horizontal="left" vertical="center" wrapText="1"/>
    </xf>
    <xf numFmtId="9" fontId="0" fillId="0" borderId="0" xfId="0" applyNumberFormat="1"/>
    <xf numFmtId="4" fontId="6" fillId="0" borderId="0" xfId="1" applyNumberFormat="1" applyAlignment="1">
      <alignment wrapText="1"/>
    </xf>
    <xf numFmtId="9" fontId="6" fillId="0" borderId="0" xfId="2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/>
  </cellXfs>
  <cellStyles count="3">
    <cellStyle name="Moneda" xfId="1" builtinId="4"/>
    <cellStyle name="Normal" xfId="0" builtinId="0"/>
    <cellStyle name="Porcentaje" xfId="2" builtinId="5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4:E14" totalsRowShown="0">
  <tableColumns count="5">
    <tableColumn id="1" xr3:uid="{00000000-0010-0000-0000-000001000000}" name="Concepto"/>
    <tableColumn id="2" xr3:uid="{00000000-0010-0000-0000-000002000000}" name="unidad"/>
    <tableColumn id="3" xr3:uid="{00000000-0010-0000-0000-000003000000}" name="coste unidad"/>
    <tableColumn id="4" xr3:uid="{00000000-0010-0000-0000-000004000000}" name="Importe" totalsRowFunction="sum"/>
    <tableColumn id="5" xr3:uid="{00000000-0010-0000-0000-000005000000}" name="Detalle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13" displayName="Tabla13" ref="I4:L21" totalsRowShown="0">
  <autoFilter ref="I4:L21" xr:uid="{00000000-0009-0000-0100-000002000000}"/>
  <tableColumns count="4">
    <tableColumn id="1" xr3:uid="{00000000-0010-0000-0100-000001000000}" name="Concepto"/>
    <tableColumn id="2" xr3:uid="{00000000-0010-0000-0100-000002000000}" name="Horas"/>
    <tableColumn id="3" xr3:uid="{00000000-0010-0000-0100-000003000000}" name="Importe"/>
    <tableColumn id="4" xr3:uid="{00000000-0010-0000-0100-000004000000}" name="Importe total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77DC51-B70C-4FBD-A597-836AFBC4D3F5}" name="Tabla3" displayName="Tabla3" ref="A1:A2" totalsRowShown="0" dataDxfId="0">
  <autoFilter ref="A1:A2" xr:uid="{D777DC51-B70C-4FBD-A597-836AFBC4D3F5}"/>
  <tableColumns count="1">
    <tableColumn id="1" xr3:uid="{2A314491-5D7E-49A2-9F5D-546CFD33E65B}" name="Oferta económica - Fundación Laciana Reserva de la Biosfera (Expte. 740/2026)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topLeftCell="D3" zoomScaleNormal="100" workbookViewId="0">
      <selection activeCell="J20" sqref="J20"/>
    </sheetView>
  </sheetViews>
  <sheetFormatPr baseColWidth="10" defaultColWidth="10.6640625" defaultRowHeight="14.4" x14ac:dyDescent="0.3"/>
  <cols>
    <col min="1" max="1" width="66.77734375" customWidth="1"/>
    <col min="2" max="3" width="29.33203125" customWidth="1"/>
    <col min="4" max="4" width="24.109375" customWidth="1"/>
    <col min="5" max="5" width="38.33203125" bestFit="1" customWidth="1"/>
    <col min="6" max="6" width="18.88671875" bestFit="1" customWidth="1"/>
    <col min="7" max="7" width="16.44140625" customWidth="1"/>
    <col min="8" max="8" width="12" customWidth="1"/>
    <col min="9" max="9" width="35.5546875" customWidth="1"/>
    <col min="10" max="10" width="12.44140625" customWidth="1"/>
    <col min="11" max="11" width="16" customWidth="1"/>
    <col min="12" max="12" width="37.88671875" customWidth="1"/>
  </cols>
  <sheetData>
    <row r="1" spans="1:14" x14ac:dyDescent="0.3">
      <c r="A1" t="s">
        <v>0</v>
      </c>
    </row>
    <row r="2" spans="1:14" ht="18" customHeight="1" x14ac:dyDescent="0.35">
      <c r="A2" s="1" t="s">
        <v>1</v>
      </c>
      <c r="B2" s="1"/>
      <c r="C2" s="1"/>
      <c r="I2" s="1" t="s">
        <v>2</v>
      </c>
      <c r="J2" s="2" t="s">
        <v>3</v>
      </c>
      <c r="K2" s="3">
        <v>34</v>
      </c>
      <c r="L2" t="s">
        <v>4</v>
      </c>
      <c r="M2">
        <v>24</v>
      </c>
    </row>
    <row r="4" spans="1:14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s="4">
        <v>60784.54</v>
      </c>
      <c r="I4" t="s">
        <v>5</v>
      </c>
      <c r="J4" t="s">
        <v>11</v>
      </c>
      <c r="K4" t="s">
        <v>8</v>
      </c>
      <c r="L4" t="s">
        <v>12</v>
      </c>
    </row>
    <row r="5" spans="1:14" ht="26.25" customHeight="1" x14ac:dyDescent="0.3">
      <c r="A5" s="5" t="s">
        <v>13</v>
      </c>
      <c r="B5" s="6">
        <v>16</v>
      </c>
      <c r="C5" s="7">
        <v>180</v>
      </c>
      <c r="D5" s="8">
        <f t="shared" ref="D5:D12" si="0">B5*C5</f>
        <v>2880</v>
      </c>
      <c r="E5" s="9" t="s">
        <v>14</v>
      </c>
      <c r="F5" t="s">
        <v>15</v>
      </c>
      <c r="G5" s="10">
        <f>D14+L21</f>
        <v>52920</v>
      </c>
      <c r="I5" s="5" t="s">
        <v>16</v>
      </c>
      <c r="J5" s="6">
        <v>145</v>
      </c>
      <c r="K5" s="3">
        <v>34</v>
      </c>
      <c r="L5" s="11">
        <f t="shared" ref="L5:L18" si="1">J5*K5</f>
        <v>4930</v>
      </c>
      <c r="N5" s="12"/>
    </row>
    <row r="6" spans="1:14" ht="26.25" customHeight="1" x14ac:dyDescent="0.3">
      <c r="A6" s="13" t="s">
        <v>17</v>
      </c>
      <c r="B6" s="14">
        <v>16</v>
      </c>
      <c r="C6" s="15">
        <v>170</v>
      </c>
      <c r="D6" s="8">
        <f t="shared" si="0"/>
        <v>2720</v>
      </c>
      <c r="E6" s="16" t="s">
        <v>18</v>
      </c>
      <c r="F6" t="s">
        <v>19</v>
      </c>
      <c r="G6" s="17">
        <v>0.03</v>
      </c>
      <c r="I6" s="13" t="s">
        <v>20</v>
      </c>
      <c r="J6" s="14">
        <v>150</v>
      </c>
      <c r="K6" s="3">
        <v>34</v>
      </c>
      <c r="L6" s="11">
        <f t="shared" si="1"/>
        <v>5100</v>
      </c>
      <c r="N6" s="12"/>
    </row>
    <row r="7" spans="1:14" ht="26.25" customHeight="1" x14ac:dyDescent="0.3">
      <c r="A7" s="5" t="s">
        <v>21</v>
      </c>
      <c r="B7" s="6">
        <v>1</v>
      </c>
      <c r="C7" s="7">
        <v>450</v>
      </c>
      <c r="D7" s="8">
        <f t="shared" si="0"/>
        <v>450</v>
      </c>
      <c r="E7" s="9" t="s">
        <v>22</v>
      </c>
      <c r="I7" s="5" t="s">
        <v>23</v>
      </c>
      <c r="J7" s="6">
        <v>120</v>
      </c>
      <c r="K7" s="3">
        <v>34</v>
      </c>
      <c r="L7" s="11">
        <f t="shared" si="1"/>
        <v>4080</v>
      </c>
      <c r="N7" s="12"/>
    </row>
    <row r="8" spans="1:14" ht="26.25" customHeight="1" x14ac:dyDescent="0.3">
      <c r="A8" s="13" t="s">
        <v>24</v>
      </c>
      <c r="B8" s="14">
        <v>1</v>
      </c>
      <c r="C8" s="15">
        <v>1200</v>
      </c>
      <c r="D8" s="8">
        <f t="shared" si="0"/>
        <v>1200</v>
      </c>
      <c r="E8" s="16" t="s">
        <v>25</v>
      </c>
      <c r="F8" t="s">
        <v>26</v>
      </c>
      <c r="G8" s="11">
        <f>G4*(1-G6)</f>
        <v>58961.003799999999</v>
      </c>
      <c r="I8" s="13" t="s">
        <v>27</v>
      </c>
      <c r="J8" s="14">
        <v>70</v>
      </c>
      <c r="K8" s="3">
        <v>34</v>
      </c>
      <c r="L8" s="11">
        <f t="shared" si="1"/>
        <v>2380</v>
      </c>
      <c r="N8" s="12"/>
    </row>
    <row r="9" spans="1:14" ht="26.25" customHeight="1" x14ac:dyDescent="0.3">
      <c r="A9" s="5" t="s">
        <v>28</v>
      </c>
      <c r="B9" s="6">
        <v>1</v>
      </c>
      <c r="C9" s="7">
        <v>650</v>
      </c>
      <c r="D9" s="8">
        <f t="shared" si="0"/>
        <v>650</v>
      </c>
      <c r="E9" s="9" t="s">
        <v>29</v>
      </c>
      <c r="I9" s="5" t="s">
        <v>30</v>
      </c>
      <c r="J9" s="6">
        <v>150</v>
      </c>
      <c r="K9" s="3">
        <v>34</v>
      </c>
      <c r="L9" s="11">
        <f t="shared" si="1"/>
        <v>5100</v>
      </c>
      <c r="N9" s="2"/>
    </row>
    <row r="10" spans="1:14" ht="26.25" customHeight="1" x14ac:dyDescent="0.3">
      <c r="A10" s="13" t="s">
        <v>31</v>
      </c>
      <c r="B10" s="14">
        <v>1</v>
      </c>
      <c r="C10" s="15">
        <v>300</v>
      </c>
      <c r="D10" s="8">
        <f t="shared" si="0"/>
        <v>300</v>
      </c>
      <c r="E10" s="16" t="s">
        <v>32</v>
      </c>
      <c r="F10" t="s">
        <v>33</v>
      </c>
      <c r="G10" s="10">
        <f>G8-G5</f>
        <v>6041.0037999999986</v>
      </c>
      <c r="I10" s="13" t="s">
        <v>34</v>
      </c>
      <c r="J10" s="14">
        <v>140</v>
      </c>
      <c r="K10" s="3">
        <v>34</v>
      </c>
      <c r="L10" s="11">
        <f t="shared" si="1"/>
        <v>4760</v>
      </c>
      <c r="N10" s="12"/>
    </row>
    <row r="11" spans="1:14" ht="26.25" customHeight="1" x14ac:dyDescent="0.3">
      <c r="A11" s="5" t="s">
        <v>35</v>
      </c>
      <c r="B11" s="6">
        <v>1</v>
      </c>
      <c r="C11" s="7">
        <v>600</v>
      </c>
      <c r="D11" s="18">
        <f t="shared" si="0"/>
        <v>600</v>
      </c>
      <c r="E11" s="9" t="s">
        <v>36</v>
      </c>
      <c r="F11" t="s">
        <v>37</v>
      </c>
      <c r="G11" s="19">
        <f>G10/G8</f>
        <v>0.10245761453606729</v>
      </c>
      <c r="I11" s="5" t="s">
        <v>38</v>
      </c>
      <c r="J11" s="6">
        <v>100</v>
      </c>
      <c r="K11" s="3">
        <v>34</v>
      </c>
      <c r="L11" s="11">
        <f t="shared" si="1"/>
        <v>3400</v>
      </c>
      <c r="N11" s="12"/>
    </row>
    <row r="12" spans="1:14" ht="22.5" customHeight="1" x14ac:dyDescent="0.3">
      <c r="A12" s="13" t="s">
        <v>39</v>
      </c>
      <c r="B12" s="14">
        <v>1</v>
      </c>
      <c r="C12" s="15">
        <v>600</v>
      </c>
      <c r="D12" s="18">
        <f t="shared" si="0"/>
        <v>600</v>
      </c>
      <c r="E12" s="16" t="s">
        <v>40</v>
      </c>
      <c r="F12" t="s">
        <v>41</v>
      </c>
      <c r="G12" s="17">
        <f>G10/G5</f>
        <v>0.1141535109599395</v>
      </c>
      <c r="I12" s="13" t="s">
        <v>42</v>
      </c>
      <c r="J12" s="14">
        <v>110</v>
      </c>
      <c r="K12" s="3">
        <v>34</v>
      </c>
      <c r="L12" s="11">
        <f t="shared" si="1"/>
        <v>3740</v>
      </c>
      <c r="N12" s="12"/>
    </row>
    <row r="13" spans="1:14" ht="26.4" x14ac:dyDescent="0.3">
      <c r="A13" s="5"/>
      <c r="B13" s="6"/>
      <c r="C13" s="7"/>
      <c r="D13" s="18"/>
      <c r="E13" s="9"/>
      <c r="F13" t="s">
        <v>43</v>
      </c>
      <c r="G13" s="10">
        <f>G8*0.21</f>
        <v>12381.810797999999</v>
      </c>
      <c r="I13" s="5" t="s">
        <v>44</v>
      </c>
      <c r="J13" s="6">
        <v>60</v>
      </c>
      <c r="K13" s="3">
        <v>34</v>
      </c>
      <c r="L13" s="11">
        <f t="shared" si="1"/>
        <v>2040</v>
      </c>
      <c r="N13" s="12"/>
    </row>
    <row r="14" spans="1:14" ht="26.25" customHeight="1" x14ac:dyDescent="0.3">
      <c r="A14" s="22" t="s">
        <v>45</v>
      </c>
      <c r="D14" s="10">
        <f>SUM(D5:D12)</f>
        <v>9400</v>
      </c>
      <c r="F14" t="s">
        <v>46</v>
      </c>
      <c r="G14" s="10">
        <f>G8+G13</f>
        <v>71342.814597999997</v>
      </c>
      <c r="I14" s="13" t="s">
        <v>47</v>
      </c>
      <c r="J14" s="14">
        <v>60</v>
      </c>
      <c r="K14" s="3">
        <v>34</v>
      </c>
      <c r="L14" s="11">
        <f t="shared" si="1"/>
        <v>2040</v>
      </c>
      <c r="N14" s="12"/>
    </row>
    <row r="15" spans="1:14" ht="26.25" customHeight="1" x14ac:dyDescent="0.3">
      <c r="I15" s="5" t="s">
        <v>48</v>
      </c>
      <c r="J15" s="6">
        <v>70</v>
      </c>
      <c r="K15" s="3">
        <v>34</v>
      </c>
      <c r="L15" s="11">
        <f t="shared" si="1"/>
        <v>2380</v>
      </c>
      <c r="N15" s="12"/>
    </row>
    <row r="16" spans="1:14" x14ac:dyDescent="0.3">
      <c r="I16" s="13" t="s">
        <v>49</v>
      </c>
      <c r="J16" s="14">
        <v>40</v>
      </c>
      <c r="K16" s="3">
        <v>34</v>
      </c>
      <c r="L16" s="11">
        <f t="shared" si="1"/>
        <v>1360</v>
      </c>
    </row>
    <row r="17" spans="9:12" x14ac:dyDescent="0.3">
      <c r="I17" s="20" t="s">
        <v>50</v>
      </c>
      <c r="J17" s="20">
        <v>35</v>
      </c>
      <c r="K17" s="3">
        <v>34</v>
      </c>
      <c r="L17" s="11">
        <f t="shared" si="1"/>
        <v>1190</v>
      </c>
    </row>
    <row r="18" spans="9:12" x14ac:dyDescent="0.3">
      <c r="I18" s="20" t="s">
        <v>51</v>
      </c>
      <c r="J18" s="20">
        <v>30</v>
      </c>
      <c r="K18" s="3">
        <v>34</v>
      </c>
      <c r="L18" s="11">
        <f t="shared" si="1"/>
        <v>1020</v>
      </c>
    </row>
    <row r="19" spans="9:12" x14ac:dyDescent="0.3">
      <c r="I19" s="20"/>
      <c r="J19" s="20"/>
      <c r="K19" s="3"/>
      <c r="L19" s="11"/>
    </row>
    <row r="20" spans="9:12" x14ac:dyDescent="0.3">
      <c r="I20" s="20"/>
      <c r="J20" s="20"/>
      <c r="K20" s="3"/>
      <c r="L20" s="11"/>
    </row>
    <row r="21" spans="9:12" x14ac:dyDescent="0.3">
      <c r="I21" s="21" t="s">
        <v>45</v>
      </c>
      <c r="J21" s="20"/>
      <c r="L21" s="10">
        <f>SUM(L5:L18)</f>
        <v>43520</v>
      </c>
    </row>
  </sheetData>
  <conditionalFormatting sqref="G10">
    <cfRule type="colorScale" priority="2">
      <colorScale>
        <cfvo type="num" val="0"/>
        <cfvo type="num" val="1"/>
        <color rgb="FFC00000"/>
        <color rgb="FF70AD47"/>
      </colorScale>
    </cfRule>
  </conditionalFormatting>
  <pageMargins left="0.7" right="0.7" top="0.75" bottom="0.75" header="0.511811023622047" footer="0.511811023622047"/>
  <pageSetup paperSize="9" orientation="portrait" horizontalDpi="300" verticalDpi="300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Laciana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RPerez</dc:creator>
  <dc:description/>
  <cp:lastModifiedBy>Agora Ofimatica 2</cp:lastModifiedBy>
  <cp:revision>0</cp:revision>
  <dcterms:created xsi:type="dcterms:W3CDTF">2026-06-29T09:01:38Z</dcterms:created>
  <dcterms:modified xsi:type="dcterms:W3CDTF">2026-06-30T07:34:29Z</dcterms:modified>
  <dc:language>en-US</dc:language>
</cp:coreProperties>
</file>