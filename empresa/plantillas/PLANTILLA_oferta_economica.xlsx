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00FF"/>
    </font>
    <font>
      <name val="Arial"/>
      <b val="1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1" fillId="2" borderId="1" pivotButton="0" quotePrefix="0" xfId="0"/>
    <xf numFmtId="0" fontId="1" fillId="2" borderId="1" pivotButton="0" quotePrefix="0" xfId="0"/>
    <xf numFmtId="0" fontId="3" fillId="3" borderId="1" applyAlignment="1" pivotButton="0" quotePrefix="0" xfId="0">
      <alignment horizontal="center"/>
    </xf>
    <xf numFmtId="0" fontId="2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64" fontId="5" fillId="0" borderId="1" pivotButton="0" quotePrefix="0" xfId="0"/>
    <xf numFmtId="165" fontId="1" fillId="2" borderId="1" pivotButton="0" quotePrefix="0" xfId="0"/>
    <xf numFmtId="165" fontId="5" fillId="0" borderId="1" pivotButton="0" quotePrefix="0" xfId="0"/>
    <xf numFmtId="164" fontId="2" fillId="4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3" customWidth="1" min="3" max="3"/>
    <col width="13" customWidth="1" min="4" max="4"/>
    <col width="40" customWidth="1" min="5" max="5"/>
    <col width="18" customWidth="1" min="6" max="6"/>
    <col width="15" customWidth="1" min="7" max="7"/>
    <col width="3" customWidth="1" min="8" max="8"/>
    <col width="46" customWidth="1" min="9" max="9"/>
    <col width="8" customWidth="1" min="10" max="10"/>
    <col width="12" customWidth="1" min="11" max="11"/>
    <col width="14" customWidth="1" min="12" max="12"/>
    <col width="8" customWidth="1" min="13" max="13"/>
  </cols>
  <sheetData>
    <row r="1">
      <c r="A1" s="1" t="inlineStr">
        <is>
          <t>Oferta económica — [EXPEDIENTE / órgano / nº]</t>
        </is>
      </c>
    </row>
    <row r="2">
      <c r="A2" s="2" t="inlineStr">
        <is>
          <t>Tabla de Gastos Directos</t>
        </is>
      </c>
      <c r="I2" s="2" t="inlineStr">
        <is>
          <t>Tabla de Gastos en Horas</t>
        </is>
      </c>
      <c r="J2" s="2" t="inlineStr">
        <is>
          <t>Coste hora</t>
        </is>
      </c>
      <c r="K2" s="3" t="n">
        <v>34</v>
      </c>
      <c r="L2" s="2" t="inlineStr">
        <is>
          <t>meses</t>
        </is>
      </c>
      <c r="M2" s="4" t="n">
        <v>24</v>
      </c>
    </row>
    <row r="4">
      <c r="A4" s="5" t="inlineStr">
        <is>
          <t>Concepto</t>
        </is>
      </c>
      <c r="B4" s="5" t="inlineStr">
        <is>
          <t>unidad</t>
        </is>
      </c>
      <c r="C4" s="5" t="inlineStr">
        <is>
          <t>coste unidad</t>
        </is>
      </c>
      <c r="D4" s="5" t="inlineStr">
        <is>
          <t>Importe</t>
        </is>
      </c>
      <c r="E4" s="5" t="inlineStr">
        <is>
          <t>Detalles</t>
        </is>
      </c>
      <c r="F4" s="6" t="inlineStr">
        <is>
          <t>Presupuesto</t>
        </is>
      </c>
      <c r="G4" s="3" t="n">
        <v>60784.54</v>
      </c>
      <c r="I4" s="5" t="inlineStr">
        <is>
          <t>Concepto</t>
        </is>
      </c>
      <c r="J4" s="5" t="inlineStr">
        <is>
          <t>Horas</t>
        </is>
      </c>
      <c r="K4" s="5" t="inlineStr">
        <is>
          <t>Importe</t>
        </is>
      </c>
      <c r="L4" s="5" t="inlineStr">
        <is>
          <t>Importe total</t>
        </is>
      </c>
    </row>
    <row r="5">
      <c r="A5" s="7" t="inlineStr">
        <is>
          <t>Desplazamientos a la sede (nº viajes)</t>
        </is>
      </c>
      <c r="B5" s="8" t="n">
        <v>16</v>
      </c>
      <c r="C5" s="9" t="n">
        <v>180</v>
      </c>
      <c r="D5" s="10">
        <f>B5*C5</f>
        <v/>
      </c>
      <c r="E5" s="7" t="inlineStr">
        <is>
          <t>Combustible, kilometraje y peajes estimados por viaje</t>
        </is>
      </c>
      <c r="F5" s="6" t="inlineStr">
        <is>
          <t>Coste</t>
        </is>
      </c>
      <c r="G5" s="10">
        <f>D14+L21</f>
        <v/>
      </c>
      <c r="I5" s="7" t="inlineStr">
        <is>
          <t>Dirección de proyecto y coordinación general</t>
        </is>
      </c>
      <c r="J5" s="8" t="n">
        <v>145</v>
      </c>
      <c r="K5" s="10">
        <f>$K$2</f>
        <v/>
      </c>
      <c r="L5" s="10">
        <f>J5*K5</f>
        <v/>
      </c>
    </row>
    <row r="6">
      <c r="A6" s="7" t="inlineStr">
        <is>
          <t>Alojamiento y dietas asociadas a visitas</t>
        </is>
      </c>
      <c r="B6" s="8" t="n">
        <v>16</v>
      </c>
      <c r="C6" s="9" t="n">
        <v>170</v>
      </c>
      <c r="D6" s="10">
        <f>B6*C6</f>
        <v/>
      </c>
      <c r="E6" s="7" t="inlineStr">
        <is>
          <t>Pernocta y manutención vinculadas a trabajo de campo</t>
        </is>
      </c>
      <c r="F6" s="6" t="inlineStr">
        <is>
          <t>Bajada</t>
        </is>
      </c>
      <c r="G6" s="11" t="n">
        <v>0.03</v>
      </c>
      <c r="I6" s="7" t="inlineStr">
        <is>
          <t>Diagnóstico territorial y turístico</t>
        </is>
      </c>
      <c r="J6" s="8" t="n">
        <v>150</v>
      </c>
      <c r="K6" s="10">
        <f>$K$2</f>
        <v/>
      </c>
      <c r="L6" s="10">
        <f>J6*K6</f>
        <v/>
      </c>
    </row>
    <row r="7">
      <c r="A7" s="7" t="inlineStr">
        <is>
          <t>Materiales y soporte para reuniones participativas</t>
        </is>
      </c>
      <c r="B7" s="8" t="n">
        <v>1</v>
      </c>
      <c r="C7" s="9" t="n">
        <v>450</v>
      </c>
      <c r="D7" s="10">
        <f>B7*C7</f>
        <v/>
      </c>
      <c r="E7" s="7" t="inlineStr">
        <is>
          <t>Documentación de trabajo, impresiones y apoyo logístico</t>
        </is>
      </c>
      <c r="I7" s="7" t="inlineStr">
        <is>
          <t>Mapeo de agentes, entrevistas y visitas de campo</t>
        </is>
      </c>
      <c r="J7" s="8" t="n">
        <v>120</v>
      </c>
      <c r="K7" s="10">
        <f>$K$2</f>
        <v/>
      </c>
      <c r="L7" s="10">
        <f>J7*K7</f>
        <v/>
      </c>
    </row>
    <row r="8">
      <c r="A8" s="7" t="inlineStr">
        <is>
          <t>Herramientas de recopilación y análisis de datos</t>
        </is>
      </c>
      <c r="B8" s="8" t="n">
        <v>1</v>
      </c>
      <c r="C8" s="9" t="n">
        <v>1200</v>
      </c>
      <c r="D8" s="10">
        <f>B8*C8</f>
        <v/>
      </c>
      <c r="E8" s="7" t="inlineStr">
        <is>
          <t>Formularios, repositorio de datos y cuadro de seguimiento</t>
        </is>
      </c>
      <c r="F8" s="6" t="inlineStr">
        <is>
          <t>Oferta</t>
        </is>
      </c>
      <c r="G8" s="10">
        <f>G4*(1-G6)</f>
        <v/>
      </c>
      <c r="I8" s="7" t="inlineStr">
        <is>
          <t>Plan de trabajo inicial y metodología</t>
        </is>
      </c>
      <c r="J8" s="8" t="n">
        <v>70</v>
      </c>
      <c r="K8" s="10">
        <f>$K$2</f>
        <v/>
      </c>
      <c r="L8" s="10">
        <f>J8*K8</f>
        <v/>
      </c>
    </row>
    <row r="9">
      <c r="A9" s="7" t="inlineStr">
        <is>
          <t>Licencias y herramientas de visualización/encuestas</t>
        </is>
      </c>
      <c r="B9" s="8" t="n">
        <v>1</v>
      </c>
      <c r="C9" s="9" t="n">
        <v>650</v>
      </c>
      <c r="D9" s="10">
        <f>B9*C9</f>
        <v/>
      </c>
      <c r="E9" s="7" t="inlineStr">
        <is>
          <t>Software de apoyo para análisis, seguimiento y reporting</t>
        </is>
      </c>
      <c r="I9" s="7" t="inlineStr">
        <is>
          <t>Diseño y estructuración del producto turístico</t>
        </is>
      </c>
      <c r="J9" s="8" t="n">
        <v>150</v>
      </c>
      <c r="K9" s="10">
        <f>$K$2</f>
        <v/>
      </c>
      <c r="L9" s="10">
        <f>J9*K9</f>
        <v/>
      </c>
    </row>
    <row r="10">
      <c r="A10" s="7" t="inlineStr">
        <is>
          <t>Comunicación y coordinación digital del proyecto</t>
        </is>
      </c>
      <c r="B10" s="8" t="n">
        <v>1</v>
      </c>
      <c r="C10" s="9" t="n">
        <v>300</v>
      </c>
      <c r="D10" s="10">
        <f>B10*C10</f>
        <v/>
      </c>
      <c r="E10" s="7" t="inlineStr">
        <is>
          <t>Videollamadas, nube, telefonía y coordinación remota</t>
        </is>
      </c>
      <c r="F10" s="6" t="inlineStr">
        <is>
          <t>Beneficio</t>
        </is>
      </c>
      <c r="G10" s="10">
        <f>G8-G5</f>
        <v/>
      </c>
      <c r="I10" s="7" t="inlineStr">
        <is>
          <t>Coordinación con agentes y dinamización territorial</t>
        </is>
      </c>
      <c r="J10" s="8" t="n">
        <v>140</v>
      </c>
      <c r="K10" s="10">
        <f>$K$2</f>
        <v/>
      </c>
      <c r="L10" s="10">
        <f>J10*K10</f>
        <v/>
      </c>
    </row>
    <row r="11">
      <c r="A11" s="7" t="inlineStr">
        <is>
          <t>Acciones divulgativas y participación en jornadas</t>
        </is>
      </c>
      <c r="B11" s="8" t="n">
        <v>1</v>
      </c>
      <c r="C11" s="9" t="n">
        <v>600</v>
      </c>
      <c r="D11" s="10">
        <f>B11*C11</f>
        <v/>
      </c>
      <c r="E11" s="7" t="inlineStr">
        <is>
          <t>Difusión, presentaciones y transferencia metodológica</t>
        </is>
      </c>
      <c r="F11" s="6" t="inlineStr">
        <is>
          <t>Margen</t>
        </is>
      </c>
      <c r="G11" s="12">
        <f>G10/G8</f>
        <v/>
      </c>
      <c r="I11" s="7" t="inlineStr">
        <is>
          <t>Sistema de datos turísticos e indicadores</t>
        </is>
      </c>
      <c r="J11" s="8" t="n">
        <v>100</v>
      </c>
      <c r="K11" s="10">
        <f>$K$2</f>
        <v/>
      </c>
      <c r="L11" s="10">
        <f>J11*K11</f>
        <v/>
      </c>
    </row>
    <row r="12">
      <c r="A12" s="7" t="inlineStr">
        <is>
          <t>Imprevistos operativos</t>
        </is>
      </c>
      <c r="B12" s="8" t="n">
        <v>1</v>
      </c>
      <c r="C12" s="9" t="n">
        <v>600</v>
      </c>
      <c r="D12" s="10">
        <f>B12*C12</f>
        <v/>
      </c>
      <c r="E12" s="7" t="inlineStr">
        <is>
          <t>Margen técnico para incidencias y ajustes menores</t>
        </is>
      </c>
      <c r="F12" s="6" t="inlineStr">
        <is>
          <t>Margen s/coste</t>
        </is>
      </c>
      <c r="G12" s="12">
        <f>G10/G5</f>
        <v/>
      </c>
      <c r="I12" s="7" t="inlineStr">
        <is>
          <t>Seguimiento y evaluación de actuaciones</t>
        </is>
      </c>
      <c r="J12" s="8" t="n">
        <v>110</v>
      </c>
      <c r="K12" s="10">
        <f>$K$2</f>
        <v/>
      </c>
      <c r="L12" s="10">
        <f>J12*K12</f>
        <v/>
      </c>
    </row>
    <row r="13">
      <c r="F13" s="6" t="inlineStr">
        <is>
          <t>IVA 21%</t>
        </is>
      </c>
      <c r="G13" s="10">
        <f>G8*0.21</f>
        <v/>
      </c>
      <c r="I13" s="7" t="inlineStr">
        <is>
          <t>Informes de seguimiento</t>
        </is>
      </c>
      <c r="J13" s="8" t="n">
        <v>60</v>
      </c>
      <c r="K13" s="10">
        <f>$K$2</f>
        <v/>
      </c>
      <c r="L13" s="10">
        <f>J13*K13</f>
        <v/>
      </c>
    </row>
    <row r="14">
      <c r="A14" s="6" t="inlineStr">
        <is>
          <t>Total</t>
        </is>
      </c>
      <c r="B14" s="6" t="inlineStr"/>
      <c r="C14" s="6" t="inlineStr"/>
      <c r="D14" s="13">
        <f>SUM(D5:D12)</f>
        <v/>
      </c>
      <c r="E14" s="14" t="inlineStr"/>
      <c r="F14" s="6" t="inlineStr">
        <is>
          <t>Oferta total (IVA incl.)</t>
        </is>
      </c>
      <c r="G14" s="10">
        <f>G8+G13</f>
        <v/>
      </c>
      <c r="I14" s="7" t="inlineStr">
        <is>
          <t>Reuniones presenciales</t>
        </is>
      </c>
      <c r="J14" s="8" t="n">
        <v>60</v>
      </c>
      <c r="K14" s="10">
        <f>$K$2</f>
        <v/>
      </c>
      <c r="L14" s="10">
        <f>J14*K14</f>
        <v/>
      </c>
    </row>
    <row r="15">
      <c r="I15" s="7" t="inlineStr">
        <is>
          <t>Memoria final y transferencia metodológica</t>
        </is>
      </c>
      <c r="J15" s="8" t="n">
        <v>70</v>
      </c>
      <c r="K15" s="10">
        <f>$K$2</f>
        <v/>
      </c>
      <c r="L15" s="10">
        <f>J15*K15</f>
        <v/>
      </c>
    </row>
    <row r="16">
      <c r="A16" s="15" t="inlineStr">
        <is>
          <t>CÓMO USAR ESTA PLANTILLA</t>
        </is>
      </c>
      <c r="I16" s="7" t="inlineStr">
        <is>
          <t>Acciones divulgativas y replicabilidad</t>
        </is>
      </c>
      <c r="J16" s="8" t="n">
        <v>40</v>
      </c>
      <c r="K16" s="10">
        <f>$K$2</f>
        <v/>
      </c>
      <c r="L16" s="10">
        <f>J16*K16</f>
        <v/>
      </c>
    </row>
    <row r="17">
      <c r="A17" s="16" t="inlineStr">
        <is>
          <t>Celdas AZULES = se editan en cada licitación (conceptos, unidades, costes, horas, detalles).</t>
        </is>
      </c>
      <c r="I17" s="7" t="inlineStr">
        <is>
          <t>Gestión documental y administrativa</t>
        </is>
      </c>
      <c r="J17" s="8" t="n">
        <v>35</v>
      </c>
      <c r="K17" s="10">
        <f>$K$2</f>
        <v/>
      </c>
      <c r="L17" s="10">
        <f>J17*K17</f>
        <v/>
      </c>
    </row>
    <row r="18">
      <c r="A18" s="16" t="inlineStr">
        <is>
          <t>Celdas AMARILLAS = palancas: G4 Presupuesto (base SIN IVA del pliego) · G6 Bajada % · K2 Coste/hora · M2 meses.</t>
        </is>
      </c>
      <c r="I18" s="7" t="inlineStr">
        <is>
          <t>Contingencia técnica y ajustes</t>
        </is>
      </c>
      <c r="J18" s="8" t="n">
        <v>30</v>
      </c>
      <c r="K18" s="10">
        <f>$K$2</f>
        <v/>
      </c>
      <c r="L18" s="10">
        <f>J18*K18</f>
        <v/>
      </c>
    </row>
    <row r="19">
      <c r="A19" s="16" t="inlineStr">
        <is>
          <t>El resto son FÓRMULAS (no tocar): Coste=directos+horas, Oferta=Presupuesto×(1−Bajada), Margen=Beneficio/Oferta.</t>
        </is>
      </c>
    </row>
    <row r="20">
      <c r="A20" s="16" t="inlineStr">
        <is>
          <t>AVISO: si el Margen (G11) queda por debajo del 10-15 %, revísalo antes de ofertar.</t>
        </is>
      </c>
    </row>
    <row r="21">
      <c r="I21" s="6" t="inlineStr">
        <is>
          <t>Total</t>
        </is>
      </c>
      <c r="J21" s="14" t="inlineStr"/>
      <c r="K21" s="14" t="inlineStr"/>
      <c r="L21" s="13">
        <f>SUM(L5:L18)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2026-07-22T08:07:18Z</dcterms:created>
  <dcterms:modified xsi:type="dcterms:W3CDTF">2026-07-22T08:13:03Z</dcterms:modified>
</cp:coreProperties>
</file>